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6900" windowHeight="5670"/>
  </bookViews>
  <sheets>
    <sheet name="Rovina del giocatore" sheetId="5" r:id="rId1"/>
  </sheets>
  <calcPr calcId="125725"/>
</workbook>
</file>

<file path=xl/calcChain.xml><?xml version="1.0" encoding="utf-8"?>
<calcChain xmlns="http://schemas.openxmlformats.org/spreadsheetml/2006/main">
  <c r="Q34" i="5"/>
  <c r="J34"/>
  <c r="P34"/>
  <c r="I34"/>
  <c r="Q10"/>
  <c r="N25"/>
  <c r="Q20"/>
  <c r="I20"/>
  <c r="C13"/>
  <c r="L24" s="1"/>
  <c r="F24" l="1"/>
  <c r="H24" s="1"/>
  <c r="N24"/>
  <c r="P24" s="1"/>
  <c r="N15"/>
  <c r="P15" s="1"/>
  <c r="F25"/>
  <c r="H25" s="1"/>
  <c r="N14"/>
  <c r="P14" s="1"/>
  <c r="L25"/>
  <c r="P25" s="1"/>
  <c r="R10" l="1"/>
  <c r="J20"/>
  <c r="R20"/>
</calcChain>
</file>

<file path=xl/sharedStrings.xml><?xml version="1.0" encoding="utf-8"?>
<sst xmlns="http://schemas.openxmlformats.org/spreadsheetml/2006/main" count="20" uniqueCount="18">
  <si>
    <t>LA ROVINA DEL GIOCATORE</t>
  </si>
  <si>
    <t>Dati:</t>
  </si>
  <si>
    <t>prob di vincere alla generica prova</t>
  </si>
  <si>
    <t>prob di perdere alla generica prova</t>
  </si>
  <si>
    <t>Formule valide per p&lt;&gt;q</t>
  </si>
  <si>
    <t>a =</t>
  </si>
  <si>
    <t>b =</t>
  </si>
  <si>
    <t>p =</t>
  </si>
  <si>
    <t>q =</t>
  </si>
  <si>
    <t>n =</t>
  </si>
  <si>
    <t>capitale iniziale del giocatore</t>
  </si>
  <si>
    <t>capitale iniziale del banco</t>
  </si>
  <si>
    <t>R = rovina a partire dal capitale iniziale</t>
  </si>
  <si>
    <t>Rn = rovina a partire dal capitale corrente</t>
  </si>
  <si>
    <t>Regola del gioco: il giocatore punta una moneta per volta, che può essere raddoppiata o persa. Il gioco finisce quando il giocatore o il banco esauriscono il capitale iniziale.</t>
  </si>
  <si>
    <t>B = rovina del banco a partire dal capitale iniziale</t>
  </si>
  <si>
    <t>capitale corrente del giocatore &lt; (a+b)</t>
  </si>
  <si>
    <t>Formule valide per p = q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</si>
</sst>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F9D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2" fillId="3" borderId="0" xfId="0" applyFont="1" applyFill="1" applyAlignment="1">
      <alignment horizontal="right"/>
    </xf>
    <xf numFmtId="2" fontId="3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164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D6E9AD"/>
      <color rgb="FFEAF9D5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Relationship Id="rId6" Type="http://schemas.openxmlformats.org/officeDocument/2006/relationships/oleObject" Target="../embeddings/oleObject5.bin"/><Relationship Id="rId5" Type="http://schemas.openxmlformats.org/officeDocument/2006/relationships/oleObject" Target="../embeddings/oleObject4.bin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topLeftCell="A7" zoomScale="110" zoomScaleNormal="110" workbookViewId="0">
      <selection activeCell="W14" sqref="W14"/>
    </sheetView>
  </sheetViews>
  <sheetFormatPr defaultRowHeight="12.75"/>
  <cols>
    <col min="2" max="2" width="12.42578125" bestFit="1" customWidth="1"/>
    <col min="11" max="11" width="10.7109375" customWidth="1"/>
  </cols>
  <sheetData>
    <row r="1" spans="1:19" ht="15" customHeight="1" thickBot="1">
      <c r="H1" s="11"/>
      <c r="I1" s="11"/>
      <c r="J1" s="11"/>
      <c r="K1" s="11"/>
      <c r="L1" s="11"/>
    </row>
    <row r="2" spans="1:19" ht="15" customHeight="1">
      <c r="H2" s="22" t="s">
        <v>0</v>
      </c>
      <c r="I2" s="23"/>
      <c r="J2" s="23"/>
      <c r="K2" s="23"/>
      <c r="L2" s="24"/>
    </row>
    <row r="3" spans="1:19" ht="15" customHeight="1" thickBot="1">
      <c r="H3" s="25"/>
      <c r="I3" s="26"/>
      <c r="J3" s="26"/>
      <c r="K3" s="26"/>
      <c r="L3" s="27"/>
    </row>
    <row r="4" spans="1:19" ht="15" customHeight="1">
      <c r="C4" s="2"/>
      <c r="D4" s="2"/>
      <c r="E4" s="2"/>
      <c r="F4" s="2"/>
      <c r="G4" s="2"/>
    </row>
    <row r="5" spans="1:19" ht="15" customHeight="1">
      <c r="B5" s="34" t="s">
        <v>14</v>
      </c>
      <c r="C5" s="35"/>
      <c r="D5" s="35"/>
      <c r="E5" s="35"/>
      <c r="F5" s="35"/>
      <c r="G5" s="35"/>
      <c r="H5" s="35"/>
      <c r="I5" s="35"/>
      <c r="J5" s="35"/>
    </row>
    <row r="6" spans="1:19" ht="15" customHeight="1">
      <c r="B6" s="35"/>
      <c r="C6" s="35"/>
      <c r="D6" s="35"/>
      <c r="E6" s="35"/>
      <c r="F6" s="35"/>
      <c r="G6" s="35"/>
      <c r="H6" s="35"/>
      <c r="I6" s="35"/>
      <c r="J6" s="35"/>
    </row>
    <row r="7" spans="1:19" ht="15" customHeight="1">
      <c r="C7" s="3"/>
      <c r="D7" s="3"/>
      <c r="E7" s="3"/>
      <c r="F7" s="3"/>
      <c r="G7" s="3"/>
      <c r="H7" s="3"/>
      <c r="I7" s="3"/>
      <c r="J7" s="3"/>
      <c r="M7" s="6" t="s">
        <v>15</v>
      </c>
      <c r="N7" s="5"/>
      <c r="O7" s="5"/>
      <c r="P7" s="5"/>
      <c r="Q7" s="6"/>
      <c r="R7" s="5"/>
    </row>
    <row r="8" spans="1:19" ht="15" customHeight="1">
      <c r="C8" s="3"/>
      <c r="D8" s="3"/>
      <c r="E8" s="3"/>
      <c r="F8" s="3"/>
      <c r="G8" s="3"/>
      <c r="H8" s="3"/>
      <c r="I8" s="3"/>
      <c r="J8" s="3"/>
      <c r="Q8" s="4"/>
      <c r="R8" s="4"/>
      <c r="S8" s="4"/>
    </row>
    <row r="9" spans="1:19" ht="15" customHeight="1">
      <c r="A9" s="4"/>
      <c r="B9" s="12" t="s">
        <v>1</v>
      </c>
      <c r="C9" s="13"/>
      <c r="D9" s="14"/>
      <c r="E9" s="14"/>
      <c r="F9" s="14"/>
      <c r="G9" s="14"/>
      <c r="N9" s="9"/>
      <c r="Q9" s="4"/>
      <c r="R9" s="4"/>
      <c r="S9" s="4"/>
    </row>
    <row r="10" spans="1:19" ht="15" customHeight="1">
      <c r="A10" s="4"/>
      <c r="B10" s="15" t="s">
        <v>5</v>
      </c>
      <c r="C10" s="17">
        <v>10</v>
      </c>
      <c r="D10" s="14" t="s">
        <v>10</v>
      </c>
      <c r="E10" s="14"/>
      <c r="F10" s="14"/>
      <c r="G10" s="14"/>
      <c r="Q10" s="7" t="str">
        <f>"="</f>
        <v>=</v>
      </c>
      <c r="R10" s="20">
        <f>P14/P15</f>
        <v>1.3811402363218364E-2</v>
      </c>
      <c r="S10" s="4"/>
    </row>
    <row r="11" spans="1:19" ht="15" customHeight="1">
      <c r="A11" s="4"/>
      <c r="B11" s="15" t="s">
        <v>6</v>
      </c>
      <c r="C11" s="17">
        <v>80</v>
      </c>
      <c r="D11" s="14" t="s">
        <v>11</v>
      </c>
      <c r="E11" s="14"/>
      <c r="F11" s="14"/>
      <c r="G11" s="14"/>
      <c r="N11" s="9"/>
      <c r="O11" s="10"/>
      <c r="Q11" s="4"/>
      <c r="R11" s="4"/>
      <c r="S11" s="4"/>
    </row>
    <row r="12" spans="1:19" ht="15" customHeight="1">
      <c r="A12" s="4"/>
      <c r="B12" s="15" t="s">
        <v>7</v>
      </c>
      <c r="C12" s="16">
        <v>0.49</v>
      </c>
      <c r="D12" s="14" t="s">
        <v>2</v>
      </c>
      <c r="E12" s="14"/>
      <c r="F12" s="14"/>
      <c r="G12" s="14"/>
      <c r="Q12" s="4"/>
      <c r="R12" s="4"/>
      <c r="S12" s="4"/>
    </row>
    <row r="13" spans="1:19" ht="15" customHeight="1">
      <c r="A13" s="4"/>
      <c r="B13" s="15" t="s">
        <v>8</v>
      </c>
      <c r="C13" s="16">
        <f>1-C12</f>
        <v>0.51</v>
      </c>
      <c r="D13" s="14" t="s">
        <v>3</v>
      </c>
      <c r="E13" s="14"/>
      <c r="F13" s="14"/>
      <c r="G13" s="14"/>
    </row>
    <row r="14" spans="1:19" ht="15" customHeight="1">
      <c r="A14" s="4"/>
      <c r="B14" s="15" t="s">
        <v>9</v>
      </c>
      <c r="C14" s="17">
        <v>20</v>
      </c>
      <c r="D14" s="14" t="s">
        <v>16</v>
      </c>
      <c r="E14" s="14"/>
      <c r="F14" s="14"/>
      <c r="G14" s="14"/>
      <c r="M14" s="4"/>
      <c r="N14" s="4">
        <f>(C13/C12)^C10</f>
        <v>1.4919042828487219</v>
      </c>
      <c r="O14" s="4"/>
      <c r="P14" s="4">
        <f>1-N14</f>
        <v>-0.4919042828487219</v>
      </c>
    </row>
    <row r="15" spans="1:19" ht="15" customHeight="1">
      <c r="A15" s="4"/>
      <c r="B15" s="4"/>
      <c r="C15" s="4"/>
      <c r="D15" s="4"/>
      <c r="E15" s="4"/>
      <c r="F15" s="4"/>
      <c r="G15" s="4"/>
      <c r="I15" s="28" t="s">
        <v>4</v>
      </c>
      <c r="J15" s="29"/>
      <c r="K15" s="30"/>
      <c r="M15" s="4"/>
      <c r="N15" s="4">
        <f>(C13/C12)^(C10+C11)</f>
        <v>36.615810032349046</v>
      </c>
      <c r="O15" s="4"/>
      <c r="P15" s="4">
        <f>1-N15</f>
        <v>-35.615810032349046</v>
      </c>
    </row>
    <row r="16" spans="1:19" ht="15" customHeight="1">
      <c r="A16" s="4"/>
      <c r="B16" s="4"/>
      <c r="C16" s="4"/>
      <c r="D16" s="4"/>
      <c r="I16" s="31"/>
      <c r="J16" s="32"/>
      <c r="K16" s="33"/>
      <c r="N16" s="18"/>
      <c r="O16" s="19"/>
    </row>
    <row r="17" spans="1:18" ht="15" customHeight="1">
      <c r="A17" s="4"/>
      <c r="D17" s="6" t="s">
        <v>12</v>
      </c>
      <c r="E17" s="5"/>
      <c r="F17" s="5"/>
      <c r="G17" s="5"/>
      <c r="H17" s="6"/>
      <c r="L17" s="6" t="s">
        <v>13</v>
      </c>
      <c r="M17" s="5"/>
      <c r="N17" s="5"/>
      <c r="O17" s="5"/>
      <c r="P17" s="6"/>
    </row>
    <row r="18" spans="1:18" ht="15" customHeight="1"/>
    <row r="19" spans="1:18" ht="15" customHeight="1"/>
    <row r="20" spans="1:18" ht="15" customHeight="1">
      <c r="I20" s="7" t="str">
        <f>"="</f>
        <v>=</v>
      </c>
      <c r="J20" s="8">
        <f>H24/H25</f>
        <v>0.98618859763678168</v>
      </c>
      <c r="Q20" s="7" t="str">
        <f>"="</f>
        <v>=</v>
      </c>
      <c r="R20" s="8">
        <f>P24/P25</f>
        <v>0.96558330729894915</v>
      </c>
    </row>
    <row r="21" spans="1:18" ht="15" customHeight="1"/>
    <row r="22" spans="1:18" ht="15" customHeight="1"/>
    <row r="23" spans="1:18" ht="15" customHeight="1"/>
    <row r="24" spans="1:18" ht="15" customHeight="1">
      <c r="C24" s="1"/>
      <c r="F24" s="4">
        <f>(C12/C13)^C11</f>
        <v>4.0744811640945774E-2</v>
      </c>
      <c r="G24" s="4"/>
      <c r="H24" s="4">
        <f>1-F24</f>
        <v>0.95925518835905421</v>
      </c>
      <c r="I24" s="4"/>
      <c r="J24" s="4"/>
      <c r="K24" s="4"/>
      <c r="L24" s="4">
        <f>(C13/C12)^(C10+C11)</f>
        <v>36.615810032349046</v>
      </c>
      <c r="M24" s="4"/>
      <c r="N24" s="4">
        <f>(C13/C12)^C14</f>
        <v>2.2257783891823593</v>
      </c>
      <c r="O24" s="4"/>
      <c r="P24" s="4">
        <f>L24-N24</f>
        <v>34.390031643166687</v>
      </c>
    </row>
    <row r="25" spans="1:18" ht="15" customHeight="1">
      <c r="F25" s="4">
        <f>(C12/C13)^(C10+C11)</f>
        <v>2.7310607060625512E-2</v>
      </c>
      <c r="G25" s="4"/>
      <c r="H25" s="4">
        <f>1-F25</f>
        <v>0.97268939293937451</v>
      </c>
      <c r="I25" s="4"/>
      <c r="J25" s="4"/>
      <c r="K25" s="4"/>
      <c r="L25" s="4">
        <f>(C13/C12)^(C10+C11)</f>
        <v>36.615810032349046</v>
      </c>
      <c r="M25" s="4"/>
      <c r="N25" s="4">
        <f>1</f>
        <v>1</v>
      </c>
      <c r="O25" s="4"/>
      <c r="P25" s="4">
        <f>L25-N25</f>
        <v>35.615810032349046</v>
      </c>
    </row>
    <row r="26" spans="1:18" ht="15" customHeight="1"/>
    <row r="29" spans="1:18">
      <c r="I29" s="28" t="s">
        <v>17</v>
      </c>
      <c r="J29" s="29"/>
      <c r="K29" s="30"/>
    </row>
    <row r="30" spans="1:18">
      <c r="I30" s="31"/>
      <c r="J30" s="32"/>
      <c r="K30" s="33"/>
    </row>
    <row r="31" spans="1:18" ht="15">
      <c r="D31" s="6" t="s">
        <v>12</v>
      </c>
      <c r="E31" s="5"/>
      <c r="F31" s="5"/>
      <c r="G31" s="5"/>
      <c r="H31" s="6"/>
      <c r="L31" s="6" t="s">
        <v>13</v>
      </c>
      <c r="M31" s="5"/>
      <c r="N31" s="5"/>
      <c r="O31" s="5"/>
      <c r="P31" s="6"/>
    </row>
    <row r="34" spans="9:17" ht="15">
      <c r="I34" s="7" t="str">
        <f>"="</f>
        <v>=</v>
      </c>
      <c r="J34" s="21">
        <f>C11/(C10+C11)</f>
        <v>0.88888888888888884</v>
      </c>
      <c r="P34" s="7" t="str">
        <f>"="</f>
        <v>=</v>
      </c>
      <c r="Q34" s="21">
        <f>1-(C14/(C10+C11))</f>
        <v>0.77777777777777779</v>
      </c>
    </row>
  </sheetData>
  <mergeCells count="4">
    <mergeCell ref="H2:L3"/>
    <mergeCell ref="I15:K16"/>
    <mergeCell ref="B5:J6"/>
    <mergeCell ref="I29:K30"/>
  </mergeCells>
  <pageMargins left="0.7" right="0.7" top="0.75" bottom="0.75" header="0.3" footer="0.3"/>
  <legacyDrawing r:id="rId1"/>
  <oleObjects>
    <oleObject progId="Equation.3" shapeId="19457" r:id="rId2"/>
    <oleObject progId="Equation.3" shapeId="19458" r:id="rId3"/>
    <oleObject progId="Equation.3" shapeId="19459" r:id="rId4"/>
    <oleObject progId="Equation.3" shapeId="19460" r:id="rId5"/>
    <oleObject progId="Equation.3" shapeId="19461" r:id="rId6"/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653CDA1963346B6D381BBFE289EF8" ma:contentTypeVersion="9" ma:contentTypeDescription="Creare un nuovo documento." ma:contentTypeScope="" ma:versionID="ffea1308eceef9266afbaa2ebffd769f">
  <xsd:schema xmlns:xsd="http://www.w3.org/2001/XMLSchema" xmlns:xs="http://www.w3.org/2001/XMLSchema" xmlns:p="http://schemas.microsoft.com/office/2006/metadata/properties" xmlns:ns2="855819a7-f396-4c53-87bb-9168c9c5dbd7" xmlns:ns3="0996a3d4-5c6f-4f20-9dc6-d0ca82d51e8d" targetNamespace="http://schemas.microsoft.com/office/2006/metadata/properties" ma:root="true" ma:fieldsID="c1153e7a6b37cd4699a1d25149679520" ns2:_="" ns3:_="">
    <xsd:import namespace="855819a7-f396-4c53-87bb-9168c9c5dbd7"/>
    <xsd:import namespace="0996a3d4-5c6f-4f20-9dc6-d0ca82d51e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819a7-f396-4c53-87bb-9168c9c5d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6a3d4-5c6f-4f20-9dc6-d0ca82d51e8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23C82C-2F70-4376-BD81-886843D6071C}"/>
</file>

<file path=customXml/itemProps2.xml><?xml version="1.0" encoding="utf-8"?>
<ds:datastoreItem xmlns:ds="http://schemas.openxmlformats.org/officeDocument/2006/customXml" ds:itemID="{ED41553C-9E23-48F7-8C70-6937FCF48277}"/>
</file>

<file path=customXml/itemProps3.xml><?xml version="1.0" encoding="utf-8"?>
<ds:datastoreItem xmlns:ds="http://schemas.openxmlformats.org/officeDocument/2006/customXml" ds:itemID="{36FAA941-5F30-4642-A38E-C5B8B5E42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Rovina del giocatore</vt:lpstr>
    </vt:vector>
  </TitlesOfParts>
  <Company>DEIS-UNICAL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Legato</dc:creator>
  <cp:lastModifiedBy>Legato mobile</cp:lastModifiedBy>
  <dcterms:created xsi:type="dcterms:W3CDTF">2002-10-08T11:51:44Z</dcterms:created>
  <dcterms:modified xsi:type="dcterms:W3CDTF">2019-10-05T18:14:15Z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0x010100C04653CDA1963346B6D381BBFE289EF8</vt:lpwstr>
  </property>
</Properties>
</file>